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Tech(EW)\Raja Umair Ashad\GLOF Portal Data\"/>
    </mc:Choice>
  </mc:AlternateContent>
  <xr:revisionPtr revIDLastSave="0" documentId="13_ncr:1_{97129C13-90C3-4111-A999-D75E896313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lof lakes" sheetId="1" r:id="rId1"/>
  </sheets>
  <definedNames>
    <definedName name="_xlnm.Database">'glof lakes'!$A$2:$K$15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M5" i="1"/>
  <c r="N5" i="1"/>
  <c r="O5" i="1"/>
  <c r="P5" i="1"/>
  <c r="Q5" i="1"/>
  <c r="L6" i="1"/>
  <c r="M6" i="1"/>
  <c r="N6" i="1"/>
  <c r="O6" i="1"/>
  <c r="P6" i="1"/>
  <c r="Q6" i="1"/>
  <c r="L7" i="1"/>
  <c r="M7" i="1"/>
  <c r="N7" i="1"/>
  <c r="O7" i="1"/>
  <c r="P7" i="1"/>
  <c r="Q7" i="1"/>
  <c r="L8" i="1"/>
  <c r="M8" i="1"/>
  <c r="N8" i="1"/>
  <c r="O8" i="1"/>
  <c r="P8" i="1"/>
  <c r="Q8" i="1"/>
  <c r="L9" i="1"/>
  <c r="M9" i="1"/>
  <c r="N9" i="1"/>
  <c r="O9" i="1"/>
  <c r="P9" i="1"/>
  <c r="Q9" i="1"/>
  <c r="L10" i="1"/>
  <c r="M10" i="1"/>
  <c r="N10" i="1"/>
  <c r="O10" i="1"/>
  <c r="P10" i="1"/>
  <c r="Q10" i="1"/>
  <c r="L11" i="1"/>
  <c r="M11" i="1"/>
  <c r="N11" i="1"/>
  <c r="O11" i="1"/>
  <c r="P11" i="1"/>
  <c r="Q11" i="1"/>
  <c r="L12" i="1"/>
  <c r="M12" i="1"/>
  <c r="N12" i="1"/>
  <c r="O12" i="1"/>
  <c r="P12" i="1"/>
  <c r="Q12" i="1"/>
  <c r="L13" i="1"/>
  <c r="M13" i="1"/>
  <c r="N13" i="1"/>
  <c r="O13" i="1"/>
  <c r="P13" i="1"/>
  <c r="Q13" i="1"/>
  <c r="L14" i="1"/>
  <c r="M14" i="1"/>
  <c r="N14" i="1"/>
  <c r="O14" i="1"/>
  <c r="P14" i="1"/>
  <c r="Q14" i="1"/>
  <c r="L15" i="1"/>
  <c r="M15" i="1"/>
  <c r="N15" i="1"/>
  <c r="O15" i="1"/>
  <c r="P15" i="1"/>
  <c r="Q15" i="1"/>
  <c r="P4" i="1"/>
  <c r="Q4" i="1"/>
  <c r="L4" i="1"/>
  <c r="M4" i="1"/>
  <c r="N4" i="1"/>
  <c r="O4" i="1"/>
  <c r="N3" i="1"/>
  <c r="O3" i="1"/>
  <c r="P3" i="1"/>
  <c r="Q3" i="1"/>
  <c r="M3" i="1"/>
  <c r="L3" i="1"/>
</calcChain>
</file>

<file path=xl/sharedStrings.xml><?xml version="1.0" encoding="utf-8"?>
<sst xmlns="http://schemas.openxmlformats.org/spreadsheetml/2006/main" count="32" uniqueCount="23">
  <si>
    <t>Dist</t>
  </si>
  <si>
    <t>District</t>
  </si>
  <si>
    <t>Name</t>
  </si>
  <si>
    <t>area_chang</t>
  </si>
  <si>
    <t>Elevation</t>
  </si>
  <si>
    <t>GHIZER</t>
  </si>
  <si>
    <t>UPPER DIR</t>
  </si>
  <si>
    <t>CHITRAL</t>
  </si>
  <si>
    <t>Tersat Hundur Glacial Lake</t>
  </si>
  <si>
    <t>HUNZA NAGAR</t>
  </si>
  <si>
    <t>Brep Glacial Lake</t>
  </si>
  <si>
    <t>Darkut Glacial Lake</t>
  </si>
  <si>
    <t>Thalo_1 Glacial Lake</t>
  </si>
  <si>
    <t>Thalo_2 Glacial Lake</t>
  </si>
  <si>
    <t>Pindoru chaat Glacial Lake</t>
  </si>
  <si>
    <t>Near Chatiboi Glacial Lake</t>
  </si>
  <si>
    <t>Chatiboi Glacial Lake</t>
  </si>
  <si>
    <t>Lasht Glacial Lake</t>
  </si>
  <si>
    <t>Badswat Glacial Lake</t>
  </si>
  <si>
    <t>Ishkoman Glacial Lake</t>
  </si>
  <si>
    <t>Reshun Glacial Lake</t>
  </si>
  <si>
    <t>Ultar Glacial lake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</si>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</sst>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0" applyNumberFormat="1"/>
    <xf numFmtId="1" fontId="0" fillId="0" borderId="0" xfId="0" applyNumberFormat="1"/>
    <xf numFmtId="164" fontId="0" fillId="0" borderId="10" xfId="0" applyNumberFormat="1" applyBorder="1"/>
    <xf numFmtId="1" fontId="0" fillId="0" borderId="10" xfId="0" applyNumberFormat="1" applyBorder="1"/>
    <xf numFmtId="1" fontId="16" fillId="0" borderId="10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lakes'!$C$3</c:f>
              <c:strCache>
                <c:ptCount val="1"/>
                <c:pt idx="0">
                  <c:v>Darkut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'glof lakes'!$E$2:$J$2</c:f>
              <c:numCache>
                <c:formatCode>0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'glof lakes'!$D$3:$J$3</c:f>
              <c:numCache>
                <c:formatCode>0</c:formatCode>
                <c:ptCount val="6"/>
                <c:pt idx="0">
                  <c:v>202000</c:v>
                </c:pt>
                <c:pt idx="1">
                  <c:v>215000</c:v>
                </c:pt>
                <c:pt idx="2">
                  <c:v>222900</c:v>
                </c:pt>
                <c:pt idx="3">
                  <c:v>219100</c:v>
                </c:pt>
                <c:pt idx="4">
                  <c:v>221600</c:v>
                </c:pt>
                <c:pt idx="5">
                  <c:v>221400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7B-4C32-AD15-0418FF6C5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0221424"/>
        <c:axId val="1280221840"/>
      </c:lineChart>
      <c:catAx>
        <c:axId val="128022142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80221840"/>
        <c:crosses val="autoZero"/>
        <c:auto val="1"/>
        <c:lblAlgn val="ctr"/>
        <c:lblOffset val="100"/>
        <c:noMultiLvlLbl val="0"/>
      </c:catAx>
      <c:valAx>
        <c:axId val="128022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8022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Thalo I&amp;II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lakes'!$C$4</c:f>
              <c:strCache>
                <c:ptCount val="1"/>
                <c:pt idx="0">
                  <c:v>Thalo_1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lakes'!$D$4:$J$4</c:f>
              <c:numCache>
                <c:formatCode>0</c:formatCode>
                <c:ptCount val="6"/>
                <c:pt idx="0">
                  <c:v>233000</c:v>
                </c:pt>
                <c:pt idx="1">
                  <c:v>273700</c:v>
                </c:pt>
                <c:pt idx="2">
                  <c:v>259200</c:v>
                </c:pt>
                <c:pt idx="3">
                  <c:v>227200</c:v>
                </c:pt>
                <c:pt idx="4">
                  <c:v>137800</c:v>
                </c:pt>
                <c:pt idx="5">
                  <c:v>263100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05-4B37-A45A-504460670498}"/>
            </c:ext>
          </c:extLst>
        </c:ser>
        <c:ser>
          <c:idx val="2"/>
          <c:order val="1"/>
          <c:tx>
            <c:strRef>
              <c:f>'glof lakes'!$C$5</c:f>
              <c:strCache>
                <c:ptCount val="1"/>
                <c:pt idx="0">
                  <c:v>Thalo_2 Glacial Lake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'glof lakes'!$D$5:$J$5</c:f>
              <c:numCache>
                <c:formatCode>0</c:formatCode>
                <c:ptCount val="6"/>
                <c:pt idx="0">
                  <c:v>42700</c:v>
                </c:pt>
                <c:pt idx="1">
                  <c:v>164400</c:v>
                </c:pt>
                <c:pt idx="2">
                  <c:v>172100</c:v>
                </c:pt>
                <c:pt idx="3">
                  <c:v>182800</c:v>
                </c:pt>
                <c:pt idx="4">
                  <c:v>164600</c:v>
                </c:pt>
                <c:pt idx="5">
                  <c:v>62200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5-4B37-A45A-504460670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575568"/>
        <c:axId val="1191576816"/>
      </c:lineChart>
      <c:catAx>
        <c:axId val="1191575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91576816"/>
        <c:crosses val="autoZero"/>
        <c:auto val="1"/>
        <c:lblAlgn val="ctr"/>
        <c:lblOffset val="100"/>
        <c:noMultiLvlLbl val="0"/>
      </c:catAx>
      <c:valAx>
        <c:axId val="11915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9157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lakes'!$C$6</c:f>
              <c:strCache>
                <c:ptCount val="1"/>
                <c:pt idx="0">
                  <c:v>Pindoru chaat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lakes'!$D$6:$J$6</c:f>
              <c:numCache>
                <c:formatCode>0</c:formatCode>
                <c:ptCount val="6"/>
                <c:pt idx="0">
                  <c:v>219500</c:v>
                </c:pt>
                <c:pt idx="1">
                  <c:v>238500</c:v>
                </c:pt>
                <c:pt idx="2">
                  <c:v>250700</c:v>
                </c:pt>
                <c:pt idx="3">
                  <c:v>274200</c:v>
                </c:pt>
                <c:pt idx="4">
                  <c:v>293700</c:v>
                </c:pt>
                <c:pt idx="5">
                  <c:v>301200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5C-401B-BEA9-F3B5C5620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154416"/>
        <c:axId val="1089151920"/>
      </c:lineChart>
      <c:catAx>
        <c:axId val="1089154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89151920"/>
        <c:crosses val="autoZero"/>
        <c:auto val="1"/>
        <c:lblAlgn val="ctr"/>
        <c:lblOffset val="100"/>
        <c:noMultiLvlLbl val="0"/>
      </c:catAx>
      <c:valAx>
        <c:axId val="10891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891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lakes'!$C$7</c:f>
              <c:strCache>
                <c:ptCount val="1"/>
                <c:pt idx="0">
                  <c:v>Near Chatiboi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lakes'!$D$7:$J$7</c:f>
              <c:numCache>
                <c:formatCode>0</c:formatCode>
                <c:ptCount val="6"/>
                <c:pt idx="0">
                  <c:v>10500</c:v>
                </c:pt>
                <c:pt idx="1">
                  <c:v>9500</c:v>
                </c:pt>
                <c:pt idx="2">
                  <c:v>3900</c:v>
                </c:pt>
                <c:pt idx="3">
                  <c:v>3500</c:v>
                </c:pt>
                <c:pt idx="4">
                  <c:v>4300</c:v>
                </c:pt>
                <c:pt idx="5">
                  <c:v>4200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27-4ECA-9221-B466E17EF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05264"/>
        <c:axId val="852299440"/>
      </c:lineChart>
      <c:catAx>
        <c:axId val="8523052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52299440"/>
        <c:crosses val="autoZero"/>
        <c:auto val="1"/>
        <c:lblAlgn val="ctr"/>
        <c:lblOffset val="100"/>
        <c:noMultiLvlLbl val="0"/>
      </c:catAx>
      <c:valAx>
        <c:axId val="85229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5230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lakes'!$C$8</c:f>
              <c:strCache>
                <c:ptCount val="1"/>
                <c:pt idx="0">
                  <c:v>Chatiboi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lakes'!$D$8:$J$8</c:f>
              <c:numCache>
                <c:formatCode>0</c:formatCode>
                <c:ptCount val="6"/>
                <c:pt idx="0">
                  <c:v>211900</c:v>
                </c:pt>
                <c:pt idx="1">
                  <c:v>186800</c:v>
                </c:pt>
                <c:pt idx="2">
                  <c:v>201600</c:v>
                </c:pt>
                <c:pt idx="3">
                  <c:v>202900</c:v>
                </c:pt>
                <c:pt idx="4">
                  <c:v>244000</c:v>
                </c:pt>
                <c:pt idx="5">
                  <c:v>221000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3F-4030-8C1D-7F8CB8B95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38512"/>
        <c:axId val="860436016"/>
      </c:lineChart>
      <c:catAx>
        <c:axId val="86043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60436016"/>
        <c:crosses val="autoZero"/>
        <c:auto val="1"/>
        <c:lblAlgn val="ctr"/>
        <c:lblOffset val="100"/>
        <c:noMultiLvlLbl val="0"/>
      </c:catAx>
      <c:valAx>
        <c:axId val="86043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6043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lakes'!$C$9</c:f>
              <c:strCache>
                <c:ptCount val="1"/>
                <c:pt idx="0">
                  <c:v>Lasht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lakes'!$D$9:$J$9</c:f>
              <c:numCache>
                <c:formatCode>0</c:formatCode>
                <c:ptCount val="6"/>
                <c:pt idx="0">
                  <c:v>27300</c:v>
                </c:pt>
                <c:pt idx="1">
                  <c:v>17500</c:v>
                </c:pt>
                <c:pt idx="2">
                  <c:v>40400</c:v>
                </c:pt>
                <c:pt idx="3">
                  <c:v>52300</c:v>
                </c:pt>
                <c:pt idx="4">
                  <c:v>74200</c:v>
                </c:pt>
                <c:pt idx="5">
                  <c:v>77800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96-4502-A7F2-7A730524B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6999184"/>
        <c:axId val="1357002096"/>
      </c:lineChart>
      <c:catAx>
        <c:axId val="1356999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57002096"/>
        <c:crosses val="autoZero"/>
        <c:auto val="1"/>
        <c:lblAlgn val="ctr"/>
        <c:lblOffset val="100"/>
        <c:noMultiLvlLbl val="0"/>
      </c:catAx>
      <c:valAx>
        <c:axId val="135700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5699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lakes'!$C$10</c:f>
              <c:strCache>
                <c:ptCount val="1"/>
                <c:pt idx="0">
                  <c:v>Badswat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lakes'!$D$10:$J$10</c:f>
              <c:numCache>
                <c:formatCode>0</c:formatCode>
                <c:ptCount val="6"/>
                <c:pt idx="0">
                  <c:v>750600</c:v>
                </c:pt>
                <c:pt idx="1">
                  <c:v>690700</c:v>
                </c:pt>
                <c:pt idx="2">
                  <c:v>792500</c:v>
                </c:pt>
                <c:pt idx="3">
                  <c:v>825000</c:v>
                </c:pt>
                <c:pt idx="4">
                  <c:v>720900</c:v>
                </c:pt>
                <c:pt idx="5">
                  <c:v>738800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CC-4111-8A76-C5CB43B8F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620352"/>
        <c:axId val="1367616192"/>
      </c:lineChart>
      <c:catAx>
        <c:axId val="1367620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67616192"/>
        <c:crosses val="autoZero"/>
        <c:auto val="1"/>
        <c:lblAlgn val="ctr"/>
        <c:lblOffset val="100"/>
        <c:noMultiLvlLbl val="0"/>
      </c:catAx>
      <c:valAx>
        <c:axId val="136761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6762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lakes'!$C$11</c:f>
              <c:strCache>
                <c:ptCount val="1"/>
                <c:pt idx="0">
                  <c:v>Ishkoman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lakes'!$D$11:$J$11</c:f>
              <c:numCache>
                <c:formatCode>0</c:formatCode>
                <c:ptCount val="6"/>
                <c:pt idx="0">
                  <c:v>74400</c:v>
                </c:pt>
                <c:pt idx="1">
                  <c:v>72700</c:v>
                </c:pt>
                <c:pt idx="2">
                  <c:v>77300</c:v>
                </c:pt>
                <c:pt idx="3">
                  <c:v>72300</c:v>
                </c:pt>
                <c:pt idx="4">
                  <c:v>74800</c:v>
                </c:pt>
                <c:pt idx="5">
                  <c:v>79900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97-45EE-AA78-565A15B53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6997520"/>
        <c:axId val="1357001264"/>
      </c:lineChart>
      <c:catAx>
        <c:axId val="1356997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57001264"/>
        <c:crosses val="autoZero"/>
        <c:auto val="1"/>
        <c:lblAlgn val="ctr"/>
        <c:lblOffset val="100"/>
        <c:noMultiLvlLbl val="0"/>
      </c:catAx>
      <c:valAx>
        <c:axId val="135700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5699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lakes'!$C$12</c:f>
              <c:strCache>
                <c:ptCount val="1"/>
                <c:pt idx="0">
                  <c:v>Tersat Hundur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lakes'!$D$12:$J$12</c:f>
              <c:numCache>
                <c:formatCode>0</c:formatCode>
                <c:ptCount val="6"/>
                <c:pt idx="0">
                  <c:v>140400</c:v>
                </c:pt>
                <c:pt idx="1">
                  <c:v>135500</c:v>
                </c:pt>
                <c:pt idx="2">
                  <c:v>134900</c:v>
                </c:pt>
                <c:pt idx="3">
                  <c:v>136200</c:v>
                </c:pt>
                <c:pt idx="4">
                  <c:v>134900</c:v>
                </c:pt>
                <c:pt idx="5">
                  <c:v>134800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04-4973-8685-DDB50F796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004176"/>
        <c:axId val="1357002512"/>
      </c:lineChart>
      <c:catAx>
        <c:axId val="1357004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57002512"/>
        <c:crosses val="autoZero"/>
        <c:auto val="1"/>
        <c:lblAlgn val="ctr"/>
        <c:lblOffset val="100"/>
        <c:noMultiLvlLbl val="0"/>
      </c:catAx>
      <c:valAx>
        <c:axId val="135700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5700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lakes'!$C$13</c:f>
              <c:strCache>
                <c:ptCount val="1"/>
                <c:pt idx="0">
                  <c:v>Ultar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lakes'!$D$13:$J$13</c:f>
              <c:numCache>
                <c:formatCode>0</c:formatCode>
                <c:ptCount val="6"/>
                <c:pt idx="0">
                  <c:v>12000</c:v>
                </c:pt>
                <c:pt idx="1">
                  <c:v>11100</c:v>
                </c:pt>
                <c:pt idx="2">
                  <c:v>11000</c:v>
                </c:pt>
                <c:pt idx="3">
                  <c:v>9600</c:v>
                </c:pt>
                <c:pt idx="4">
                  <c:v>8600</c:v>
                </c:pt>
                <c:pt idx="5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52-4BF4-9191-EF739838A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154832"/>
        <c:axId val="1089155664"/>
      </c:lineChart>
      <c:catAx>
        <c:axId val="1089154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89155664"/>
        <c:crosses val="autoZero"/>
        <c:auto val="1"/>
        <c:lblAlgn val="ctr"/>
        <c:lblOffset val="100"/>
        <c:noMultiLvlLbl val="0"/>
      </c:catAx>
      <c:valAx>
        <c:axId val="108915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8915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lakes'!$C$14</c:f>
              <c:strCache>
                <c:ptCount val="1"/>
                <c:pt idx="0">
                  <c:v>Reshun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lakes'!$D$14:$J$14</c:f>
              <c:numCache>
                <c:formatCode>0</c:formatCode>
                <c:ptCount val="6"/>
                <c:pt idx="0">
                  <c:v>2900</c:v>
                </c:pt>
                <c:pt idx="1">
                  <c:v>1400</c:v>
                </c:pt>
                <c:pt idx="2">
                  <c:v>1900</c:v>
                </c:pt>
                <c:pt idx="3">
                  <c:v>3000</c:v>
                </c:pt>
                <c:pt idx="4">
                  <c:v>3700</c:v>
                </c:pt>
                <c:pt idx="5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A2-46B0-97F7-7BB9ECD79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0742656"/>
        <c:axId val="1380740160"/>
      </c:lineChart>
      <c:catAx>
        <c:axId val="138074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80740160"/>
        <c:crosses val="autoZero"/>
        <c:auto val="1"/>
        <c:lblAlgn val="ctr"/>
        <c:lblOffset val="100"/>
        <c:noMultiLvlLbl val="0"/>
      </c:catAx>
      <c:valAx>
        <c:axId val="13807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8074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'glof lakes'!$C$15</c:f>
              <c:strCache>
                <c:ptCount val="1"/>
                <c:pt idx="0">
                  <c:v>Brep Glacial Lake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'glof lakes'!$D$15:$J$15</c:f>
              <c:numCache>
                <c:formatCode>0</c:formatCode>
                <c:ptCount val="6"/>
                <c:pt idx="0">
                  <c:v>24900</c:v>
                </c:pt>
                <c:pt idx="1">
                  <c:v>19900</c:v>
                </c:pt>
                <c:pt idx="2">
                  <c:v>16400</c:v>
                </c:pt>
                <c:pt idx="3">
                  <c:v>17300</c:v>
                </c:pt>
                <c:pt idx="4">
                  <c:v>23100</c:v>
                </c:pt>
                <c:pt idx="5">
                  <c:v>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4-45CA-B3D4-3989999D5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0768448"/>
        <c:axId val="1380761792"/>
      </c:lineChart>
      <c:catAx>
        <c:axId val="1380768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80761792"/>
        <c:crosses val="autoZero"/>
        <c:auto val="1"/>
        <c:lblAlgn val="ctr"/>
        <c:lblOffset val="100"/>
        <c:noMultiLvlLbl val="0"/>
      </c:catAx>
      <c:valAx>
        <c:axId val="138076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8076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31</xdr:row>
      <xdr:rowOff>80962</xdr:rowOff>
    </xdr:from>
    <xdr:to>
      <xdr:col>29</xdr:col>
      <xdr:colOff>266700</xdr:colOff>
      <xdr:row>45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088097-9625-4214-A8AE-E0CD5EB37F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85725</xdr:colOff>
      <xdr:row>15</xdr:row>
      <xdr:rowOff>109537</xdr:rowOff>
    </xdr:from>
    <xdr:to>
      <xdr:col>21</xdr:col>
      <xdr:colOff>390525</xdr:colOff>
      <xdr:row>29</xdr:row>
      <xdr:rowOff>185737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0B8603-E77D-4DC1-8C43-01744262D0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442912</xdr:colOff>
      <xdr:row>1</xdr:row>
      <xdr:rowOff>0</xdr:rowOff>
    </xdr:from>
    <xdr:to>
      <xdr:col>26</xdr:col>
      <xdr:colOff>138112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BFAAE3-0B8F-4832-9FA7-961DDDCFD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71437</xdr:colOff>
      <xdr:row>15</xdr:row>
      <xdr:rowOff>33337</xdr:rowOff>
    </xdr:from>
    <xdr:to>
      <xdr:col>14</xdr:col>
      <xdr:colOff>90487</xdr:colOff>
      <xdr:row>29</xdr:row>
      <xdr:rowOff>109537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3F329B1-BBAA-4508-9FA1-FD4039FD4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14</xdr:row>
      <xdr:rowOff>176212</xdr:rowOff>
    </xdr:from>
    <xdr:to>
      <xdr:col>7</xdr:col>
      <xdr:colOff>38100</xdr:colOff>
      <xdr:row>29</xdr:row>
      <xdr:rowOff>61912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6262983-BAD6-4448-A6B9-01E4229E04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29</xdr:row>
      <xdr:rowOff>61912</xdr:rowOff>
    </xdr:from>
    <xdr:to>
      <xdr:col>7</xdr:col>
      <xdr:colOff>38100</xdr:colOff>
      <xdr:row>43</xdr:row>
      <xdr:rowOff>138112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E925E58-0D17-4B1B-BB89-1082B0E13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71437</xdr:colOff>
      <xdr:row>29</xdr:row>
      <xdr:rowOff>90487</xdr:rowOff>
    </xdr:from>
    <xdr:to>
      <xdr:col>14</xdr:col>
      <xdr:colOff>90487</xdr:colOff>
      <xdr:row>43</xdr:row>
      <xdr:rowOff>166687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A292CE2-79BF-4E09-9B51-5BC503950D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52387</xdr:colOff>
      <xdr:row>29</xdr:row>
      <xdr:rowOff>166687</xdr:rowOff>
    </xdr:from>
    <xdr:to>
      <xdr:col>21</xdr:col>
      <xdr:colOff>357187</xdr:colOff>
      <xdr:row>44</xdr:row>
      <xdr:rowOff>52387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1AC52F4-8255-47CD-8C4B-A670832BE3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109537</xdr:colOff>
      <xdr:row>41</xdr:row>
      <xdr:rowOff>71437</xdr:rowOff>
    </xdr:from>
    <xdr:to>
      <xdr:col>7</xdr:col>
      <xdr:colOff>147637</xdr:colOff>
      <xdr:row>55</xdr:row>
      <xdr:rowOff>147637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00645B1-CC88-4549-9DA4-47090ABCA4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90487</xdr:colOff>
      <xdr:row>41</xdr:row>
      <xdr:rowOff>157162</xdr:rowOff>
    </xdr:from>
    <xdr:to>
      <xdr:col>14</xdr:col>
      <xdr:colOff>109537</xdr:colOff>
      <xdr:row>56</xdr:row>
      <xdr:rowOff>42862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6CF444E-419E-41DB-86F8-3FDE551D9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147637</xdr:colOff>
      <xdr:row>42</xdr:row>
      <xdr:rowOff>109537</xdr:rowOff>
    </xdr:from>
    <xdr:to>
      <xdr:col>21</xdr:col>
      <xdr:colOff>452437</xdr:colOff>
      <xdr:row>56</xdr:row>
      <xdr:rowOff>185737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EAEAE95-DDFD-4D86-96E8-2301B7A4E6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90487</xdr:colOff>
      <xdr:row>15</xdr:row>
      <xdr:rowOff>166687</xdr:rowOff>
    </xdr:from>
    <xdr:to>
      <xdr:col>27</xdr:col>
      <xdr:colOff>395287</xdr:colOff>
      <xdr:row>30</xdr:row>
      <xdr:rowOff>52387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0B77D0-7A58-46DB-A44E-33AA83C90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topLeftCell="B1" workbookViewId="0">
      <selection activeCell="F5" sqref="F5"/>
    </sheetView>
  </sheetViews>
  <sheetFormatPr defaultRowHeight="15" x14ac:dyDescent="0.25"/>
  <cols>
    <col min="1" max="1" width="22" style="1" hidden="1" customWidth="1"/>
    <col min="2" max="2" width="14.28515625" style="2" bestFit="1" customWidth="1"/>
    <col min="3" max="3" width="24.5703125" style="2" bestFit="1" customWidth="1"/>
    <col min="4" max="4" width="24.7109375" style="1" hidden="1" customWidth="1"/>
    <col min="5" max="10" width="9.7109375" style="2" customWidth="1"/>
    <col min="11" max="11" width="11.7109375" style="2" customWidth="1"/>
  </cols>
  <sheetData>
    <row r="1" spans="1:17" ht="18.75" x14ac:dyDescent="0.3">
      <c r="L1" s="7" t="s">
        <v>22</v>
      </c>
      <c r="M1" s="7"/>
      <c r="N1" s="7"/>
      <c r="O1" s="7"/>
      <c r="P1" s="7"/>
      <c r="Q1" s="7"/>
    </row>
    <row r="2" spans="1:17" x14ac:dyDescent="0.25">
      <c r="A2" s="3" t="s">
        <v>0</v>
      </c>
      <c r="B2" s="5" t="s">
        <v>1</v>
      </c>
      <c r="C2" s="5" t="s">
        <v>2</v>
      </c>
      <c r="D2" s="6" t="s">
        <v>3</v>
      </c>
      <c r="E2" s="5">
        <v>2020</v>
      </c>
      <c r="F2" s="5">
        <v>2021</v>
      </c>
      <c r="G2" s="5">
        <v>2022</v>
      </c>
      <c r="H2" s="5">
        <v>2023</v>
      </c>
      <c r="I2" s="5">
        <v>2024</v>
      </c>
      <c r="J2" s="5">
        <v>2025</v>
      </c>
      <c r="K2" s="5" t="s">
        <v>4</v>
      </c>
      <c r="L2" s="5">
        <v>2020</v>
      </c>
      <c r="M2" s="5">
        <v>2021</v>
      </c>
      <c r="N2" s="5">
        <v>2022</v>
      </c>
      <c r="O2" s="5">
        <v>2023</v>
      </c>
      <c r="P2" s="5">
        <v>2024</v>
      </c>
      <c r="Q2" s="5">
        <v>2025</v>
      </c>
    </row>
    <row r="3" spans="1:17" x14ac:dyDescent="0.25">
      <c r="A3" s="3">
        <v>1200</v>
      </c>
      <c r="B3" s="4" t="s">
        <v>5</v>
      </c>
      <c r="C3" s="4" t="s">
        <v>11</v>
      </c>
      <c r="D3" s="3"/>
      <c r="E3" s="4">
        <v>202000</v>
      </c>
      <c r="F3" s="4">
        <v>215000</v>
      </c>
      <c r="G3" s="4">
        <v>222900</v>
      </c>
      <c r="H3" s="4">
        <v>219100</v>
      </c>
      <c r="I3" s="4">
        <v>221600</v>
      </c>
      <c r="J3" s="4">
        <v>221400</v>
      </c>
      <c r="K3" s="4">
        <v>3377</v>
      </c>
      <c r="L3">
        <f>0.104*E3^1.42</f>
        <v>3553303.3383153938</v>
      </c>
      <c r="M3">
        <f>0.104*F3^1.42</f>
        <v>3882361.3283128324</v>
      </c>
      <c r="N3">
        <f t="shared" ref="N3:Q3" si="0">0.104*G3^1.42</f>
        <v>4086482.4351653149</v>
      </c>
      <c r="O3">
        <f t="shared" si="0"/>
        <v>3987911.5328802578</v>
      </c>
      <c r="P3">
        <f t="shared" si="0"/>
        <v>4052680.7440787018</v>
      </c>
      <c r="Q3">
        <f t="shared" si="0"/>
        <v>4047487.8598243995</v>
      </c>
    </row>
    <row r="4" spans="1:17" x14ac:dyDescent="0.25">
      <c r="A4" s="3">
        <v>14000</v>
      </c>
      <c r="B4" s="4" t="s">
        <v>6</v>
      </c>
      <c r="C4" s="4" t="s">
        <v>12</v>
      </c>
      <c r="D4" s="3"/>
      <c r="E4" s="4">
        <v>233000</v>
      </c>
      <c r="F4" s="4">
        <v>273700</v>
      </c>
      <c r="G4" s="4">
        <v>259200</v>
      </c>
      <c r="H4" s="4">
        <v>227200</v>
      </c>
      <c r="I4" s="4">
        <v>137800</v>
      </c>
      <c r="J4" s="4">
        <v>263100</v>
      </c>
      <c r="K4" s="4">
        <v>4199</v>
      </c>
      <c r="L4">
        <f>0.104*E4^1.42</f>
        <v>4351898.3944295486</v>
      </c>
      <c r="M4">
        <f>0.104*F4^1.42</f>
        <v>5469700.5623557102</v>
      </c>
      <c r="N4">
        <f t="shared" ref="N4" si="1">0.104*G4^1.42</f>
        <v>5062849.7066745274</v>
      </c>
      <c r="O4">
        <f t="shared" ref="O4" si="2">0.104*H4^1.42</f>
        <v>4198877.1053416319</v>
      </c>
      <c r="P4">
        <f>0.104*I4^1.42</f>
        <v>2064273.4566543126</v>
      </c>
      <c r="Q4">
        <f>0.104*J4^1.42</f>
        <v>5171362.0445248522</v>
      </c>
    </row>
    <row r="5" spans="1:17" x14ac:dyDescent="0.25">
      <c r="A5" s="3">
        <v>14000</v>
      </c>
      <c r="B5" s="4" t="s">
        <v>7</v>
      </c>
      <c r="C5" s="4" t="s">
        <v>13</v>
      </c>
      <c r="D5" s="3"/>
      <c r="E5" s="4">
        <v>42700</v>
      </c>
      <c r="F5" s="4">
        <v>164400</v>
      </c>
      <c r="G5" s="4">
        <v>172100</v>
      </c>
      <c r="H5" s="4">
        <v>182800</v>
      </c>
      <c r="I5" s="4">
        <v>164600</v>
      </c>
      <c r="J5" s="4">
        <v>62200</v>
      </c>
      <c r="K5" s="4">
        <v>4262</v>
      </c>
      <c r="L5">
        <f t="shared" ref="L5:L15" si="3">0.104*E5^1.42</f>
        <v>391057.77220271772</v>
      </c>
      <c r="M5">
        <f t="shared" ref="M5:M15" si="4">0.104*F5^1.42</f>
        <v>2652246.6775701516</v>
      </c>
      <c r="N5">
        <f t="shared" ref="N5:N15" si="5">0.104*G5^1.42</f>
        <v>2830363.2404047023</v>
      </c>
      <c r="O5">
        <f t="shared" ref="O5:O15" si="6">0.104*H5^1.42</f>
        <v>3083468.6061479556</v>
      </c>
      <c r="P5">
        <f t="shared" ref="P5:P15" si="7">0.104*I5^1.42</f>
        <v>2656829.5878151231</v>
      </c>
      <c r="Q5">
        <f t="shared" ref="Q5:Q15" si="8">0.104*J5^1.42</f>
        <v>667138.01060923806</v>
      </c>
    </row>
    <row r="6" spans="1:17" x14ac:dyDescent="0.25">
      <c r="A6" s="3">
        <v>12200</v>
      </c>
      <c r="B6" s="4" t="s">
        <v>7</v>
      </c>
      <c r="C6" s="4" t="s">
        <v>14</v>
      </c>
      <c r="D6" s="3">
        <v>85500</v>
      </c>
      <c r="E6" s="4">
        <v>219500</v>
      </c>
      <c r="F6" s="4">
        <v>238500</v>
      </c>
      <c r="G6" s="4">
        <v>250700</v>
      </c>
      <c r="H6" s="4">
        <v>274200</v>
      </c>
      <c r="I6" s="4">
        <v>293700</v>
      </c>
      <c r="J6" s="4">
        <v>301200</v>
      </c>
      <c r="K6" s="4">
        <v>4589</v>
      </c>
      <c r="L6">
        <f t="shared" si="3"/>
        <v>3998253.850845871</v>
      </c>
      <c r="M6">
        <f t="shared" si="4"/>
        <v>4498490.8731865156</v>
      </c>
      <c r="N6">
        <f t="shared" si="5"/>
        <v>4828725.2318811743</v>
      </c>
      <c r="O6">
        <f t="shared" si="6"/>
        <v>5483894.8506362718</v>
      </c>
      <c r="P6">
        <f t="shared" si="7"/>
        <v>6045844.0892304089</v>
      </c>
      <c r="Q6">
        <f t="shared" si="8"/>
        <v>6266245.3189160218</v>
      </c>
    </row>
    <row r="7" spans="1:17" x14ac:dyDescent="0.25">
      <c r="A7" s="3">
        <v>3000</v>
      </c>
      <c r="B7" s="4" t="s">
        <v>7</v>
      </c>
      <c r="C7" s="4" t="s">
        <v>15</v>
      </c>
      <c r="D7" s="3">
        <v>-6300</v>
      </c>
      <c r="E7" s="4">
        <v>10500</v>
      </c>
      <c r="F7" s="4">
        <v>9500</v>
      </c>
      <c r="G7" s="4">
        <v>3900</v>
      </c>
      <c r="H7" s="4">
        <v>3500</v>
      </c>
      <c r="I7" s="4">
        <v>4300</v>
      </c>
      <c r="J7" s="4">
        <v>4200</v>
      </c>
      <c r="K7" s="4">
        <v>3411</v>
      </c>
      <c r="L7">
        <f t="shared" si="3"/>
        <v>53348.491537064467</v>
      </c>
      <c r="M7">
        <f t="shared" si="4"/>
        <v>46280.80014310858</v>
      </c>
      <c r="N7">
        <f t="shared" si="5"/>
        <v>13072.091565322988</v>
      </c>
      <c r="O7">
        <f t="shared" si="6"/>
        <v>11210.112274441512</v>
      </c>
      <c r="P7">
        <f t="shared" si="7"/>
        <v>15016.148212868513</v>
      </c>
      <c r="Q7">
        <f t="shared" si="8"/>
        <v>14522.698848630705</v>
      </c>
    </row>
    <row r="8" spans="1:17" x14ac:dyDescent="0.25">
      <c r="A8" s="3">
        <v>700</v>
      </c>
      <c r="B8" s="4" t="s">
        <v>7</v>
      </c>
      <c r="C8" s="4" t="s">
        <v>16</v>
      </c>
      <c r="D8" s="3">
        <v>31100</v>
      </c>
      <c r="E8" s="4">
        <v>211900</v>
      </c>
      <c r="F8" s="4">
        <v>186800</v>
      </c>
      <c r="G8" s="4">
        <v>201600</v>
      </c>
      <c r="H8" s="4">
        <v>202900</v>
      </c>
      <c r="I8" s="4">
        <v>244000</v>
      </c>
      <c r="J8" s="4">
        <v>221000</v>
      </c>
      <c r="K8" s="4">
        <v>4489</v>
      </c>
      <c r="L8">
        <f t="shared" si="3"/>
        <v>3803113.5976599338</v>
      </c>
      <c r="M8">
        <f t="shared" si="4"/>
        <v>3179717.2094063503</v>
      </c>
      <c r="N8">
        <f t="shared" si="5"/>
        <v>3543316.0279619778</v>
      </c>
      <c r="O8">
        <f t="shared" si="6"/>
        <v>3575805.154573502</v>
      </c>
      <c r="P8">
        <f t="shared" si="7"/>
        <v>4646510.1770109441</v>
      </c>
      <c r="Q8">
        <f t="shared" si="8"/>
        <v>4037108.0018281206</v>
      </c>
    </row>
    <row r="9" spans="1:17" x14ac:dyDescent="0.25">
      <c r="A9" s="3">
        <v>400</v>
      </c>
      <c r="B9" s="4" t="s">
        <v>7</v>
      </c>
      <c r="C9" s="4" t="s">
        <v>17</v>
      </c>
      <c r="D9" s="3">
        <v>50000</v>
      </c>
      <c r="E9" s="4">
        <v>27300</v>
      </c>
      <c r="F9" s="4">
        <v>17500</v>
      </c>
      <c r="G9" s="4">
        <v>40400</v>
      </c>
      <c r="H9" s="4">
        <v>52300</v>
      </c>
      <c r="I9" s="4">
        <v>74200</v>
      </c>
      <c r="J9" s="4">
        <v>77800</v>
      </c>
      <c r="K9" s="4">
        <v>2914</v>
      </c>
      <c r="L9">
        <f t="shared" si="3"/>
        <v>207197.39842504688</v>
      </c>
      <c r="M9">
        <f t="shared" si="4"/>
        <v>110191.31564911531</v>
      </c>
      <c r="N9">
        <f t="shared" si="5"/>
        <v>361488.82634729904</v>
      </c>
      <c r="O9">
        <f t="shared" si="6"/>
        <v>521561.75437281362</v>
      </c>
      <c r="P9">
        <f t="shared" si="7"/>
        <v>857051.43181018112</v>
      </c>
      <c r="Q9">
        <f t="shared" si="8"/>
        <v>916693.9540587177</v>
      </c>
    </row>
    <row r="10" spans="1:17" x14ac:dyDescent="0.25">
      <c r="A10" s="3">
        <v>13000</v>
      </c>
      <c r="B10" s="4" t="s">
        <v>5</v>
      </c>
      <c r="C10" s="4" t="s">
        <v>18</v>
      </c>
      <c r="D10" s="3">
        <v>-31600</v>
      </c>
      <c r="E10" s="4">
        <v>750600</v>
      </c>
      <c r="F10" s="4">
        <v>690700</v>
      </c>
      <c r="G10" s="4">
        <v>792500</v>
      </c>
      <c r="H10" s="4">
        <v>825000</v>
      </c>
      <c r="I10" s="4">
        <v>720900</v>
      </c>
      <c r="J10" s="4">
        <v>738800</v>
      </c>
      <c r="K10" s="4">
        <v>2606</v>
      </c>
      <c r="L10">
        <f t="shared" si="3"/>
        <v>22914664.057192482</v>
      </c>
      <c r="M10">
        <f t="shared" si="4"/>
        <v>20362184.434117462</v>
      </c>
      <c r="N10">
        <f t="shared" si="5"/>
        <v>24752114.420986447</v>
      </c>
      <c r="O10">
        <f t="shared" si="6"/>
        <v>26205831.620765612</v>
      </c>
      <c r="P10">
        <f t="shared" si="7"/>
        <v>21637938.173553307</v>
      </c>
      <c r="Q10">
        <f t="shared" si="8"/>
        <v>22404823.062433943</v>
      </c>
    </row>
    <row r="11" spans="1:17" x14ac:dyDescent="0.25">
      <c r="A11" s="3">
        <v>4089</v>
      </c>
      <c r="B11" s="4" t="s">
        <v>5</v>
      </c>
      <c r="C11" s="4" t="s">
        <v>19</v>
      </c>
      <c r="D11" s="3">
        <v>7700</v>
      </c>
      <c r="E11" s="4">
        <v>74400</v>
      </c>
      <c r="F11" s="4">
        <v>72700</v>
      </c>
      <c r="G11" s="4">
        <v>77300</v>
      </c>
      <c r="H11" s="4">
        <v>72300</v>
      </c>
      <c r="I11" s="4">
        <v>74800</v>
      </c>
      <c r="J11" s="4">
        <v>79900</v>
      </c>
      <c r="K11" s="4">
        <v>3727</v>
      </c>
      <c r="L11">
        <f t="shared" si="3"/>
        <v>860333.64623031998</v>
      </c>
      <c r="M11">
        <f t="shared" si="4"/>
        <v>832553.59934343852</v>
      </c>
      <c r="N11">
        <f t="shared" si="5"/>
        <v>908339.54258051456</v>
      </c>
      <c r="O11">
        <f t="shared" si="6"/>
        <v>826056.44021574419</v>
      </c>
      <c r="P11">
        <f t="shared" si="7"/>
        <v>866909.19276847434</v>
      </c>
      <c r="Q11">
        <f t="shared" si="8"/>
        <v>952028.09724466165</v>
      </c>
    </row>
    <row r="12" spans="1:17" x14ac:dyDescent="0.25">
      <c r="A12" s="3"/>
      <c r="B12" s="4" t="s">
        <v>5</v>
      </c>
      <c r="C12" s="4" t="s">
        <v>8</v>
      </c>
      <c r="D12" s="3"/>
      <c r="E12" s="4">
        <v>140400</v>
      </c>
      <c r="F12" s="4">
        <v>135500</v>
      </c>
      <c r="G12" s="4">
        <v>134900</v>
      </c>
      <c r="H12" s="4">
        <v>136200</v>
      </c>
      <c r="I12" s="4">
        <v>134900</v>
      </c>
      <c r="J12" s="4">
        <v>134800</v>
      </c>
      <c r="K12" s="4">
        <v>4311</v>
      </c>
      <c r="L12">
        <f t="shared" si="3"/>
        <v>2119798.7531314767</v>
      </c>
      <c r="M12">
        <f t="shared" si="4"/>
        <v>2015520.1229100239</v>
      </c>
      <c r="N12">
        <f t="shared" si="5"/>
        <v>2002858.684180347</v>
      </c>
      <c r="O12">
        <f t="shared" si="6"/>
        <v>2030321.5863443881</v>
      </c>
      <c r="P12">
        <f t="shared" si="7"/>
        <v>2002858.684180347</v>
      </c>
      <c r="Q12">
        <f t="shared" si="8"/>
        <v>2000750.7401248403</v>
      </c>
    </row>
    <row r="13" spans="1:17" x14ac:dyDescent="0.25">
      <c r="A13" s="3"/>
      <c r="B13" s="4" t="s">
        <v>9</v>
      </c>
      <c r="C13" s="4" t="s">
        <v>21</v>
      </c>
      <c r="D13" s="3"/>
      <c r="E13" s="4">
        <v>12000</v>
      </c>
      <c r="F13" s="4">
        <v>11100</v>
      </c>
      <c r="G13" s="4">
        <v>11000</v>
      </c>
      <c r="H13" s="4">
        <v>9600</v>
      </c>
      <c r="I13" s="4">
        <v>8600</v>
      </c>
      <c r="J13" s="4">
        <v>71</v>
      </c>
      <c r="K13" s="4">
        <v>4655</v>
      </c>
      <c r="L13">
        <f t="shared" si="3"/>
        <v>64486.78248123861</v>
      </c>
      <c r="M13">
        <f t="shared" si="4"/>
        <v>57728.725455220389</v>
      </c>
      <c r="N13">
        <f t="shared" si="5"/>
        <v>56991.613458665626</v>
      </c>
      <c r="O13">
        <f t="shared" si="6"/>
        <v>46974.102403933473</v>
      </c>
      <c r="P13">
        <f t="shared" si="7"/>
        <v>40181.03692149806</v>
      </c>
      <c r="Q13">
        <f t="shared" si="8"/>
        <v>44.240517095352779</v>
      </c>
    </row>
    <row r="14" spans="1:17" x14ac:dyDescent="0.25">
      <c r="A14" s="3"/>
      <c r="B14" s="4" t="s">
        <v>7</v>
      </c>
      <c r="C14" s="4" t="s">
        <v>20</v>
      </c>
      <c r="D14" s="3"/>
      <c r="E14" s="4">
        <v>2900</v>
      </c>
      <c r="F14" s="4">
        <v>1400</v>
      </c>
      <c r="G14" s="4">
        <v>1900</v>
      </c>
      <c r="H14" s="4">
        <v>3000</v>
      </c>
      <c r="I14" s="4">
        <v>3700</v>
      </c>
      <c r="J14" s="4">
        <v>2700</v>
      </c>
      <c r="K14" s="4">
        <v>4399</v>
      </c>
      <c r="L14">
        <f t="shared" si="3"/>
        <v>8582.987821803632</v>
      </c>
      <c r="M14">
        <f t="shared" si="4"/>
        <v>3051.6530070572753</v>
      </c>
      <c r="N14">
        <f t="shared" si="5"/>
        <v>4708.2926880309215</v>
      </c>
      <c r="O14">
        <f t="shared" si="6"/>
        <v>9006.2815802435944</v>
      </c>
      <c r="P14">
        <f t="shared" si="7"/>
        <v>12130.530314316733</v>
      </c>
      <c r="Q14">
        <f t="shared" si="8"/>
        <v>7754.7871931399832</v>
      </c>
    </row>
    <row r="15" spans="1:17" x14ac:dyDescent="0.25">
      <c r="A15" s="3"/>
      <c r="B15" s="4" t="s">
        <v>7</v>
      </c>
      <c r="C15" s="4" t="s">
        <v>10</v>
      </c>
      <c r="D15" s="3"/>
      <c r="E15" s="4">
        <v>24900</v>
      </c>
      <c r="F15" s="4">
        <v>19900</v>
      </c>
      <c r="G15" s="4">
        <v>16400</v>
      </c>
      <c r="H15" s="4">
        <v>17300</v>
      </c>
      <c r="I15" s="4">
        <v>23100</v>
      </c>
      <c r="J15" s="4">
        <v>25000</v>
      </c>
      <c r="K15" s="4">
        <v>4539</v>
      </c>
      <c r="L15">
        <f t="shared" si="3"/>
        <v>181817.80573063638</v>
      </c>
      <c r="M15">
        <f t="shared" si="4"/>
        <v>132252.74893085542</v>
      </c>
      <c r="N15">
        <f t="shared" si="5"/>
        <v>100487.39862187713</v>
      </c>
      <c r="O15">
        <f t="shared" si="6"/>
        <v>108407.36933250779</v>
      </c>
      <c r="P15">
        <f t="shared" si="7"/>
        <v>163441.50426157363</v>
      </c>
      <c r="Q15">
        <f t="shared" si="8"/>
        <v>182855.5521506865</v>
      </c>
    </row>
  </sheetData>
  <mergeCells count="1">
    <mergeCell ref="L1:Q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glof lakes</vt:lpstr>
      <vt:lpstr>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Raja Umair Arshad</dc:creator>
  <cp:lastModifiedBy>Raja Umair Arshad</cp:lastModifiedBy>
  <dcterms:created xsi:type="dcterms:W3CDTF">2026-02-25T06:01:27Z</dcterms:created>
  <dcterms:modified xsi:type="dcterms:W3CDTF">2026-02-26T04:27:48Z</dcterms:modified>
</cp:coreProperties>
</file>